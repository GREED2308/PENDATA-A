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Step-by-St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BE5D6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Day</t>
        </is>
      </c>
      <c r="B1" s="1" t="inlineStr">
        <is>
          <t>Outlook</t>
        </is>
      </c>
      <c r="C1" s="1" t="inlineStr">
        <is>
          <t>Temp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Play Tennis</t>
        </is>
      </c>
    </row>
    <row r="2">
      <c r="A2" s="2" t="inlineStr">
        <is>
          <t>D1</t>
        </is>
      </c>
      <c r="B2" s="2" t="inlineStr">
        <is>
          <t>Sunny</t>
        </is>
      </c>
      <c r="C2" s="2" t="inlineStr">
        <is>
          <t>Hot</t>
        </is>
      </c>
      <c r="D2" s="2" t="inlineStr">
        <is>
          <t>High</t>
        </is>
      </c>
      <c r="E2" s="2" t="inlineStr">
        <is>
          <t>False</t>
        </is>
      </c>
      <c r="F2" s="2" t="inlineStr">
        <is>
          <t>No</t>
        </is>
      </c>
    </row>
    <row r="3">
      <c r="A3" s="2" t="inlineStr">
        <is>
          <t>D2</t>
        </is>
      </c>
      <c r="B3" s="2" t="inlineStr">
        <is>
          <t>Sunny</t>
        </is>
      </c>
      <c r="C3" s="2" t="inlineStr">
        <is>
          <t>Hot</t>
        </is>
      </c>
      <c r="D3" s="2" t="inlineStr">
        <is>
          <t>High</t>
        </is>
      </c>
      <c r="E3" s="2" t="inlineStr">
        <is>
          <t>True</t>
        </is>
      </c>
      <c r="F3" s="2" t="inlineStr">
        <is>
          <t>No</t>
        </is>
      </c>
    </row>
    <row r="4">
      <c r="A4" s="2" t="inlineStr">
        <is>
          <t>D3</t>
        </is>
      </c>
      <c r="B4" s="2" t="inlineStr">
        <is>
          <t>Overcast</t>
        </is>
      </c>
      <c r="C4" s="2" t="inlineStr">
        <is>
          <t>Hot</t>
        </is>
      </c>
      <c r="D4" s="2" t="inlineStr">
        <is>
          <t>High</t>
        </is>
      </c>
      <c r="E4" s="2" t="inlineStr">
        <is>
          <t>False</t>
        </is>
      </c>
      <c r="F4" s="2" t="inlineStr">
        <is>
          <t>Yes</t>
        </is>
      </c>
    </row>
    <row r="5">
      <c r="A5" s="2" t="inlineStr">
        <is>
          <t>D4</t>
        </is>
      </c>
      <c r="B5" s="2" t="inlineStr">
        <is>
          <t>Rain</t>
        </is>
      </c>
      <c r="C5" s="2" t="inlineStr">
        <is>
          <t>Mild</t>
        </is>
      </c>
      <c r="D5" s="2" t="inlineStr">
        <is>
          <t>High</t>
        </is>
      </c>
      <c r="E5" s="2" t="inlineStr">
        <is>
          <t>False</t>
        </is>
      </c>
      <c r="F5" s="2" t="inlineStr">
        <is>
          <t>Yes</t>
        </is>
      </c>
    </row>
    <row r="6">
      <c r="A6" s="2" t="inlineStr">
        <is>
          <t>D5</t>
        </is>
      </c>
      <c r="B6" s="2" t="inlineStr">
        <is>
          <t>Rain</t>
        </is>
      </c>
      <c r="C6" s="2" t="inlineStr">
        <is>
          <t>Cool</t>
        </is>
      </c>
      <c r="D6" s="2" t="inlineStr">
        <is>
          <t>Normal</t>
        </is>
      </c>
      <c r="E6" s="2" t="inlineStr">
        <is>
          <t>False</t>
        </is>
      </c>
      <c r="F6" s="2" t="inlineStr">
        <is>
          <t>Yes</t>
        </is>
      </c>
    </row>
    <row r="7">
      <c r="A7" s="2" t="inlineStr">
        <is>
          <t>D6</t>
        </is>
      </c>
      <c r="B7" s="2" t="inlineStr">
        <is>
          <t>Rain</t>
        </is>
      </c>
      <c r="C7" s="2" t="inlineStr">
        <is>
          <t>Cool</t>
        </is>
      </c>
      <c r="D7" s="2" t="inlineStr">
        <is>
          <t>Normal</t>
        </is>
      </c>
      <c r="E7" s="2" t="inlineStr">
        <is>
          <t>True</t>
        </is>
      </c>
      <c r="F7" s="2" t="inlineStr">
        <is>
          <t>No</t>
        </is>
      </c>
    </row>
    <row r="8">
      <c r="A8" s="2" t="inlineStr">
        <is>
          <t>D7</t>
        </is>
      </c>
      <c r="B8" s="2" t="inlineStr">
        <is>
          <t>Overcast</t>
        </is>
      </c>
      <c r="C8" s="2" t="inlineStr">
        <is>
          <t>Cool</t>
        </is>
      </c>
      <c r="D8" s="2" t="inlineStr">
        <is>
          <t>Normal</t>
        </is>
      </c>
      <c r="E8" s="2" t="inlineStr">
        <is>
          <t>True</t>
        </is>
      </c>
      <c r="F8" s="2" t="inlineStr">
        <is>
          <t>Yes</t>
        </is>
      </c>
    </row>
    <row r="9">
      <c r="A9" s="2" t="inlineStr">
        <is>
          <t>D8</t>
        </is>
      </c>
      <c r="B9" s="2" t="inlineStr">
        <is>
          <t>Sunny</t>
        </is>
      </c>
      <c r="C9" s="2" t="inlineStr">
        <is>
          <t>Mild</t>
        </is>
      </c>
      <c r="D9" s="2" t="inlineStr">
        <is>
          <t>High</t>
        </is>
      </c>
      <c r="E9" s="2" t="inlineStr">
        <is>
          <t>False</t>
        </is>
      </c>
      <c r="F9" s="2" t="inlineStr">
        <is>
          <t>No</t>
        </is>
      </c>
    </row>
    <row r="10">
      <c r="A10" s="2" t="inlineStr">
        <is>
          <t>D9</t>
        </is>
      </c>
      <c r="B10" s="2" t="inlineStr">
        <is>
          <t>Sunny</t>
        </is>
      </c>
      <c r="C10" s="2" t="inlineStr">
        <is>
          <t>Cool</t>
        </is>
      </c>
      <c r="D10" s="2" t="inlineStr">
        <is>
          <t>Normal</t>
        </is>
      </c>
      <c r="E10" s="2" t="inlineStr">
        <is>
          <t>False</t>
        </is>
      </c>
      <c r="F10" s="2" t="inlineStr">
        <is>
          <t>Yes</t>
        </is>
      </c>
    </row>
    <row r="11">
      <c r="A11" s="2" t="inlineStr">
        <is>
          <t>D10</t>
        </is>
      </c>
      <c r="B11" s="2" t="inlineStr">
        <is>
          <t>Rain</t>
        </is>
      </c>
      <c r="C11" s="2" t="inlineStr">
        <is>
          <t>Mild</t>
        </is>
      </c>
      <c r="D11" s="2" t="inlineStr">
        <is>
          <t>Normal</t>
        </is>
      </c>
      <c r="E11" s="2" t="inlineStr">
        <is>
          <t>False</t>
        </is>
      </c>
      <c r="F11" s="2" t="inlineStr">
        <is>
          <t>Yes</t>
        </is>
      </c>
    </row>
    <row r="12">
      <c r="A12" s="2" t="inlineStr">
        <is>
          <t>D11</t>
        </is>
      </c>
      <c r="B12" s="2" t="inlineStr">
        <is>
          <t>Sunny</t>
        </is>
      </c>
      <c r="C12" s="2" t="inlineStr">
        <is>
          <t>Mild</t>
        </is>
      </c>
      <c r="D12" s="2" t="inlineStr">
        <is>
          <t>Normal</t>
        </is>
      </c>
      <c r="E12" s="2" t="inlineStr">
        <is>
          <t>True</t>
        </is>
      </c>
      <c r="F12" s="2" t="inlineStr">
        <is>
          <t>Yes</t>
        </is>
      </c>
    </row>
    <row r="13">
      <c r="A13" s="2" t="inlineStr">
        <is>
          <t>D12</t>
        </is>
      </c>
      <c r="B13" s="2" t="inlineStr">
        <is>
          <t>Overcast</t>
        </is>
      </c>
      <c r="C13" s="2" t="inlineStr">
        <is>
          <t>Mild</t>
        </is>
      </c>
      <c r="D13" s="2" t="inlineStr">
        <is>
          <t>High</t>
        </is>
      </c>
      <c r="E13" s="2" t="inlineStr">
        <is>
          <t>True</t>
        </is>
      </c>
      <c r="F13" s="2" t="inlineStr">
        <is>
          <t>Yes</t>
        </is>
      </c>
    </row>
    <row r="14">
      <c r="A14" s="2" t="inlineStr">
        <is>
          <t>D13</t>
        </is>
      </c>
      <c r="B14" s="2" t="inlineStr">
        <is>
          <t>Overcast</t>
        </is>
      </c>
      <c r="C14" s="2" t="inlineStr">
        <is>
          <t>Hot</t>
        </is>
      </c>
      <c r="D14" s="2" t="inlineStr">
        <is>
          <t>Normal</t>
        </is>
      </c>
      <c r="E14" s="2" t="inlineStr">
        <is>
          <t>False</t>
        </is>
      </c>
      <c r="F14" s="2" t="inlineStr">
        <is>
          <t>Yes</t>
        </is>
      </c>
    </row>
    <row r="15">
      <c r="A15" s="2" t="inlineStr">
        <is>
          <t>D14</t>
        </is>
      </c>
      <c r="B15" s="2" t="inlineStr">
        <is>
          <t>Rain</t>
        </is>
      </c>
      <c r="C15" s="2" t="inlineStr">
        <is>
          <t>Mild</t>
        </is>
      </c>
      <c r="D15" s="2" t="inlineStr">
        <is>
          <t>High</t>
        </is>
      </c>
      <c r="E15" s="2" t="inlineStr">
        <is>
          <t>True</t>
        </is>
      </c>
      <c r="F15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Ringkasan Gain Ratio</t>
        </is>
      </c>
    </row>
    <row r="3">
      <c r="A3" s="4" t="inlineStr">
        <is>
          <t>Total data</t>
        </is>
      </c>
      <c r="B3" s="5" t="n">
        <v>14</v>
      </c>
    </row>
    <row r="4">
      <c r="A4" s="4" t="inlineStr">
        <is>
          <t>Total Yes</t>
        </is>
      </c>
      <c r="B4" s="5" t="n">
        <v>9</v>
      </c>
    </row>
    <row r="5">
      <c r="A5" s="4" t="inlineStr">
        <is>
          <t>Total No</t>
        </is>
      </c>
      <c r="B5" s="5" t="n">
        <v>5</v>
      </c>
    </row>
    <row r="6">
      <c r="A6" s="4" t="inlineStr">
        <is>
          <t>Entropy S</t>
        </is>
      </c>
      <c r="B6" s="5" t="n">
        <v>0.9402859586706311</v>
      </c>
    </row>
    <row r="8">
      <c r="A8" s="6" t="inlineStr">
        <is>
          <t>Attribute</t>
        </is>
      </c>
      <c r="B8" s="6" t="inlineStr">
        <is>
          <t>Gain</t>
        </is>
      </c>
      <c r="C8" s="6" t="inlineStr">
        <is>
          <t>Split Info</t>
        </is>
      </c>
      <c r="D8" s="6" t="inlineStr">
        <is>
          <t>Gain Ratio</t>
        </is>
      </c>
    </row>
    <row r="9">
      <c r="A9" s="5" t="inlineStr">
        <is>
          <t>Outlook</t>
        </is>
      </c>
      <c r="B9" s="5" t="n">
        <v>0.247</v>
      </c>
      <c r="C9" s="5" t="n">
        <v>1.577</v>
      </c>
      <c r="D9" s="5" t="n">
        <v>0.156</v>
      </c>
    </row>
    <row r="10">
      <c r="A10" s="5" t="inlineStr">
        <is>
          <t>Temp</t>
        </is>
      </c>
      <c r="B10" s="5" t="n">
        <v>0.029</v>
      </c>
      <c r="C10" s="5" t="n">
        <v>1.557</v>
      </c>
      <c r="D10" s="5" t="n">
        <v>0.019</v>
      </c>
    </row>
    <row r="11">
      <c r="A11" s="5" t="inlineStr">
        <is>
          <t>Humidity</t>
        </is>
      </c>
      <c r="B11" s="5" t="n">
        <v>0.152</v>
      </c>
      <c r="C11" s="5" t="n">
        <v>1</v>
      </c>
      <c r="D11" s="5" t="n">
        <v>0.152</v>
      </c>
    </row>
    <row r="12">
      <c r="A12" s="5" t="inlineStr">
        <is>
          <t>Wind</t>
        </is>
      </c>
      <c r="B12" s="5" t="n">
        <v>0.048</v>
      </c>
      <c r="C12" s="5" t="n">
        <v>0.985</v>
      </c>
      <c r="D12" s="5" t="n">
        <v>0.049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0" customWidth="1" min="4" max="4"/>
    <col width="12" customWidth="1" min="5" max="5"/>
    <col width="20" customWidth="1" min="6" max="6"/>
    <col width="28" customWidth="1" min="7" max="7"/>
  </cols>
  <sheetData>
    <row r="1">
      <c r="A1" s="3" t="inlineStr">
        <is>
          <t>Perhitungan Gain Ratio Step by Step</t>
        </is>
      </c>
    </row>
    <row r="3">
      <c r="A3" s="7" t="inlineStr">
        <is>
          <t>1) Hitung Entropy Total</t>
        </is>
      </c>
    </row>
    <row r="4">
      <c r="A4" s="8" t="inlineStr">
        <is>
          <t>Total data = 14</t>
        </is>
      </c>
    </row>
    <row r="5">
      <c r="A5" s="8" t="inlineStr">
        <is>
          <t>Yes = 9, No = 5</t>
        </is>
      </c>
    </row>
    <row r="6">
      <c r="A6" s="8" t="inlineStr">
        <is>
          <t>Rumus: Entropy(S) = - (pYes log2 pYes + pNo log2 pNo)</t>
        </is>
      </c>
    </row>
    <row r="7">
      <c r="A7" s="8" t="inlineStr">
        <is>
          <t>Substitusi: Entropy(S) = - ((9/14) log2(9/14) + (5/14) log2(5/14))</t>
        </is>
      </c>
    </row>
    <row r="8">
      <c r="A8" s="8" t="inlineStr">
        <is>
          <t>Hasil: Entropy(S) = 0.940</t>
        </is>
      </c>
    </row>
    <row r="10">
      <c r="A10" s="9" t="inlineStr">
        <is>
          <t>2) Atribut Outlook</t>
        </is>
      </c>
    </row>
    <row r="11">
      <c r="A11" s="10" t="inlineStr">
        <is>
          <t>Value</t>
        </is>
      </c>
      <c r="B11" s="10" t="inlineStr">
        <is>
          <t>Jumlah</t>
        </is>
      </c>
      <c r="C11" s="10" t="inlineStr">
        <is>
          <t>Yes</t>
        </is>
      </c>
      <c r="D11" s="10" t="inlineStr">
        <is>
          <t>No</t>
        </is>
      </c>
      <c r="E11" s="10" t="inlineStr">
        <is>
          <t>Entropy</t>
        </is>
      </c>
      <c r="F11" s="10" t="inlineStr">
        <is>
          <t>p = Jumlah/Total</t>
        </is>
      </c>
      <c r="G11" s="10" t="inlineStr">
        <is>
          <t>Contribution ke Weighted Entropy</t>
        </is>
      </c>
    </row>
    <row r="12">
      <c r="A12" s="11" t="inlineStr">
        <is>
          <t>Overcast</t>
        </is>
      </c>
      <c r="B12" s="11" t="n">
        <v>4</v>
      </c>
      <c r="C12" s="11" t="n">
        <v>4</v>
      </c>
      <c r="D12" s="11" t="n">
        <v>0</v>
      </c>
      <c r="E12" s="11" t="n">
        <v>0</v>
      </c>
      <c r="F12" s="11" t="inlineStr">
        <is>
          <t>4/14 = 0.286</t>
        </is>
      </c>
      <c r="G12" s="11" t="inlineStr">
        <is>
          <t>0.286 × 0.000 = 0.000</t>
        </is>
      </c>
    </row>
    <row r="13">
      <c r="A13" s="12" t="inlineStr">
        <is>
          <t>Entropy(Outlook=Overcast) = -(4/4 log2(4/4) + 0/4 log2(0/4)) = 0.000</t>
        </is>
      </c>
    </row>
    <row r="14">
      <c r="A14" s="11" t="inlineStr">
        <is>
          <t>Rain</t>
        </is>
      </c>
      <c r="B14" s="11" t="n">
        <v>5</v>
      </c>
      <c r="C14" s="11" t="n">
        <v>3</v>
      </c>
      <c r="D14" s="11" t="n">
        <v>2</v>
      </c>
      <c r="E14" s="11" t="n">
        <v>0.971</v>
      </c>
      <c r="F14" s="11" t="inlineStr">
        <is>
          <t>5/14 = 0.357</t>
        </is>
      </c>
      <c r="G14" s="11" t="inlineStr">
        <is>
          <t>0.357 × 0.971 = 0.347</t>
        </is>
      </c>
    </row>
    <row r="15">
      <c r="A15" s="12" t="inlineStr">
        <is>
          <t>Entropy(Outlook=Rain) = -(3/5 log2(3/5) + 2/5 log2(2/5)) = 0.971</t>
        </is>
      </c>
    </row>
    <row r="16">
      <c r="A16" s="11" t="inlineStr">
        <is>
          <t>Sunny</t>
        </is>
      </c>
      <c r="B16" s="11" t="n">
        <v>5</v>
      </c>
      <c r="C16" s="11" t="n">
        <v>2</v>
      </c>
      <c r="D16" s="11" t="n">
        <v>3</v>
      </c>
      <c r="E16" s="11" t="n">
        <v>0.971</v>
      </c>
      <c r="F16" s="11" t="inlineStr">
        <is>
          <t>5/14 = 0.357</t>
        </is>
      </c>
      <c r="G16" s="11" t="inlineStr">
        <is>
          <t>0.357 × 0.971 = 0.347</t>
        </is>
      </c>
    </row>
    <row r="17">
      <c r="A17" s="12" t="inlineStr">
        <is>
          <t>Entropy(Outlook=Sunny) = -(2/5 log2(2/5) + 3/5 log2(3/5)) = 0.971</t>
        </is>
      </c>
    </row>
    <row r="18">
      <c r="A18" s="8" t="inlineStr">
        <is>
          <t>Weighted Entropy Outlook</t>
        </is>
      </c>
      <c r="B18" s="8">
        <f> 0.694</f>
        <v/>
      </c>
      <c r="C18" s="8" t="n"/>
      <c r="D18" s="8" t="inlineStr">
        <is>
          <t>Split Info Outlook</t>
        </is>
      </c>
      <c r="E18" s="8">
        <f> 1.577</f>
        <v/>
      </c>
    </row>
    <row r="19">
      <c r="A19" s="8" t="inlineStr">
        <is>
          <t>Gain Outlook</t>
        </is>
      </c>
      <c r="B19" s="8">
        <f> Entropy(S) - Weighted Entropy</f>
        <v/>
      </c>
      <c r="C19" s="8" t="n"/>
      <c r="D19" s="8" t="inlineStr">
        <is>
          <t>Gain Ratio Outlook</t>
        </is>
      </c>
      <c r="E19" s="8">
        <f> Gain / Split Info = 0.156</f>
        <v/>
      </c>
    </row>
    <row r="21">
      <c r="A21" s="9" t="inlineStr">
        <is>
          <t>2) Atribut Temp</t>
        </is>
      </c>
    </row>
    <row r="22">
      <c r="A22" s="10" t="inlineStr">
        <is>
          <t>Value</t>
        </is>
      </c>
      <c r="B22" s="10" t="inlineStr">
        <is>
          <t>Jumlah</t>
        </is>
      </c>
      <c r="C22" s="10" t="inlineStr">
        <is>
          <t>Yes</t>
        </is>
      </c>
      <c r="D22" s="10" t="inlineStr">
        <is>
          <t>No</t>
        </is>
      </c>
      <c r="E22" s="10" t="inlineStr">
        <is>
          <t>Entropy</t>
        </is>
      </c>
      <c r="F22" s="10" t="inlineStr">
        <is>
          <t>p = Jumlah/Total</t>
        </is>
      </c>
      <c r="G22" s="10" t="inlineStr">
        <is>
          <t>Contribution ke Weighted Entropy</t>
        </is>
      </c>
    </row>
    <row r="23">
      <c r="A23" s="11" t="inlineStr">
        <is>
          <t>Cool</t>
        </is>
      </c>
      <c r="B23" s="11" t="n">
        <v>4</v>
      </c>
      <c r="C23" s="11" t="n">
        <v>3</v>
      </c>
      <c r="D23" s="11" t="n">
        <v>1</v>
      </c>
      <c r="E23" s="11" t="n">
        <v>0.8110000000000001</v>
      </c>
      <c r="F23" s="11" t="inlineStr">
        <is>
          <t>4/14 = 0.286</t>
        </is>
      </c>
      <c r="G23" s="11" t="inlineStr">
        <is>
          <t>0.286 × 0.811 = 0.232</t>
        </is>
      </c>
    </row>
    <row r="24">
      <c r="A24" s="12" t="inlineStr">
        <is>
          <t>Entropy(Temp=Cool) = -(3/4 log2(3/4) + 1/4 log2(1/4)) = 0.811</t>
        </is>
      </c>
    </row>
    <row r="25">
      <c r="A25" s="11" t="inlineStr">
        <is>
          <t>Hot</t>
        </is>
      </c>
      <c r="B25" s="11" t="n">
        <v>4</v>
      </c>
      <c r="C25" s="11" t="n">
        <v>2</v>
      </c>
      <c r="D25" s="11" t="n">
        <v>2</v>
      </c>
      <c r="E25" s="11" t="n">
        <v>1</v>
      </c>
      <c r="F25" s="11" t="inlineStr">
        <is>
          <t>4/14 = 0.286</t>
        </is>
      </c>
      <c r="G25" s="11" t="inlineStr">
        <is>
          <t>0.286 × 1.000 = 0.286</t>
        </is>
      </c>
    </row>
    <row r="26">
      <c r="A26" s="12" t="inlineStr">
        <is>
          <t>Entropy(Temp=Hot) = -(2/4 log2(2/4) + 2/4 log2(2/4)) = 1.000</t>
        </is>
      </c>
    </row>
    <row r="27">
      <c r="A27" s="11" t="inlineStr">
        <is>
          <t>Mild</t>
        </is>
      </c>
      <c r="B27" s="11" t="n">
        <v>6</v>
      </c>
      <c r="C27" s="11" t="n">
        <v>4</v>
      </c>
      <c r="D27" s="11" t="n">
        <v>2</v>
      </c>
      <c r="E27" s="11" t="n">
        <v>0.918</v>
      </c>
      <c r="F27" s="11" t="inlineStr">
        <is>
          <t>6/14 = 0.429</t>
        </is>
      </c>
      <c r="G27" s="11" t="inlineStr">
        <is>
          <t>0.429 × 0.918 = 0.394</t>
        </is>
      </c>
    </row>
    <row r="28">
      <c r="A28" s="12" t="inlineStr">
        <is>
          <t>Entropy(Temp=Mild) = -(4/6 log2(4/6) + 2/6 log2(2/6)) = 0.918</t>
        </is>
      </c>
    </row>
    <row r="29">
      <c r="A29" s="8" t="inlineStr">
        <is>
          <t>Weighted Entropy Temp</t>
        </is>
      </c>
      <c r="B29" s="8">
        <f> 0.911</f>
        <v/>
      </c>
      <c r="C29" s="8" t="n"/>
      <c r="D29" s="8" t="inlineStr">
        <is>
          <t>Split Info Temp</t>
        </is>
      </c>
      <c r="E29" s="8">
        <f> 1.557</f>
        <v/>
      </c>
    </row>
    <row r="30">
      <c r="A30" s="8" t="inlineStr">
        <is>
          <t>Gain Temp</t>
        </is>
      </c>
      <c r="B30" s="8">
        <f> Entropy(S) - Weighted Entropy</f>
        <v/>
      </c>
      <c r="C30" s="8" t="n"/>
      <c r="D30" s="8" t="inlineStr">
        <is>
          <t>Gain Ratio Temp</t>
        </is>
      </c>
      <c r="E30" s="8">
        <f> Gain / Split Info = 0.019</f>
        <v/>
      </c>
    </row>
    <row r="32">
      <c r="A32" s="9" t="inlineStr">
        <is>
          <t>2) Atribut Humidity</t>
        </is>
      </c>
    </row>
    <row r="33">
      <c r="A33" s="10" t="inlineStr">
        <is>
          <t>Value</t>
        </is>
      </c>
      <c r="B33" s="10" t="inlineStr">
        <is>
          <t>Jumlah</t>
        </is>
      </c>
      <c r="C33" s="10" t="inlineStr">
        <is>
          <t>Yes</t>
        </is>
      </c>
      <c r="D33" s="10" t="inlineStr">
        <is>
          <t>No</t>
        </is>
      </c>
      <c r="E33" s="10" t="inlineStr">
        <is>
          <t>Entropy</t>
        </is>
      </c>
      <c r="F33" s="10" t="inlineStr">
        <is>
          <t>p = Jumlah/Total</t>
        </is>
      </c>
      <c r="G33" s="10" t="inlineStr">
        <is>
          <t>Contribution ke Weighted Entropy</t>
        </is>
      </c>
    </row>
    <row r="34">
      <c r="A34" s="11" t="inlineStr">
        <is>
          <t>High</t>
        </is>
      </c>
      <c r="B34" s="11" t="n">
        <v>7</v>
      </c>
      <c r="C34" s="11" t="n">
        <v>3</v>
      </c>
      <c r="D34" s="11" t="n">
        <v>4</v>
      </c>
      <c r="E34" s="11" t="n">
        <v>0.985</v>
      </c>
      <c r="F34" s="11" t="inlineStr">
        <is>
          <t>7/14 = 0.500</t>
        </is>
      </c>
      <c r="G34" s="11" t="inlineStr">
        <is>
          <t>0.500 × 0.985 = 0.493</t>
        </is>
      </c>
    </row>
    <row r="35">
      <c r="A35" s="12" t="inlineStr">
        <is>
          <t>Entropy(Humidity=High) = -(3/7 log2(3/7) + 4/7 log2(4/7)) = 0.985</t>
        </is>
      </c>
    </row>
    <row r="36">
      <c r="A36" s="11" t="inlineStr">
        <is>
          <t>Normal</t>
        </is>
      </c>
      <c r="B36" s="11" t="n">
        <v>7</v>
      </c>
      <c r="C36" s="11" t="n">
        <v>6</v>
      </c>
      <c r="D36" s="11" t="n">
        <v>1</v>
      </c>
      <c r="E36" s="11" t="n">
        <v>0.592</v>
      </c>
      <c r="F36" s="11" t="inlineStr">
        <is>
          <t>7/14 = 0.500</t>
        </is>
      </c>
      <c r="G36" s="11" t="inlineStr">
        <is>
          <t>0.500 × 0.592 = 0.296</t>
        </is>
      </c>
    </row>
    <row r="37">
      <c r="A37" s="12" t="inlineStr">
        <is>
          <t>Entropy(Humidity=Normal) = -(6/7 log2(6/7) + 1/7 log2(1/7)) = 0.592</t>
        </is>
      </c>
    </row>
    <row r="38">
      <c r="A38" s="8" t="inlineStr">
        <is>
          <t>Weighted Entropy Humidity</t>
        </is>
      </c>
      <c r="B38" s="8">
        <f> 0.788</f>
        <v/>
      </c>
      <c r="C38" s="8" t="n"/>
      <c r="D38" s="8" t="inlineStr">
        <is>
          <t>Split Info Humidity</t>
        </is>
      </c>
      <c r="E38" s="8">
        <f> 1.000</f>
        <v/>
      </c>
    </row>
    <row r="39">
      <c r="A39" s="8" t="inlineStr">
        <is>
          <t>Gain Humidity</t>
        </is>
      </c>
      <c r="B39" s="8">
        <f> Entropy(S) - Weighted Entropy</f>
        <v/>
      </c>
      <c r="C39" s="8" t="n"/>
      <c r="D39" s="8" t="inlineStr">
        <is>
          <t>Gain Ratio Humidity</t>
        </is>
      </c>
      <c r="E39" s="8">
        <f> Gain / Split Info = 0.152</f>
        <v/>
      </c>
    </row>
    <row r="41">
      <c r="A41" s="9" t="inlineStr">
        <is>
          <t>2) Atribut Wind</t>
        </is>
      </c>
    </row>
    <row r="42">
      <c r="A42" s="10" t="inlineStr">
        <is>
          <t>Value</t>
        </is>
      </c>
      <c r="B42" s="10" t="inlineStr">
        <is>
          <t>Jumlah</t>
        </is>
      </c>
      <c r="C42" s="10" t="inlineStr">
        <is>
          <t>Yes</t>
        </is>
      </c>
      <c r="D42" s="10" t="inlineStr">
        <is>
          <t>No</t>
        </is>
      </c>
      <c r="E42" s="10" t="inlineStr">
        <is>
          <t>Entropy</t>
        </is>
      </c>
      <c r="F42" s="10" t="inlineStr">
        <is>
          <t>p = Jumlah/Total</t>
        </is>
      </c>
      <c r="G42" s="10" t="inlineStr">
        <is>
          <t>Contribution ke Weighted Entropy</t>
        </is>
      </c>
    </row>
    <row r="43">
      <c r="A43" s="11" t="inlineStr">
        <is>
          <t>False</t>
        </is>
      </c>
      <c r="B43" s="11" t="n">
        <v>8</v>
      </c>
      <c r="C43" s="11" t="n">
        <v>6</v>
      </c>
      <c r="D43" s="11" t="n">
        <v>2</v>
      </c>
      <c r="E43" s="11" t="n">
        <v>0.8110000000000001</v>
      </c>
      <c r="F43" s="11" t="inlineStr">
        <is>
          <t>8/14 = 0.571</t>
        </is>
      </c>
      <c r="G43" s="11" t="inlineStr">
        <is>
          <t>0.571 × 0.811 = 0.464</t>
        </is>
      </c>
    </row>
    <row r="44">
      <c r="A44" s="12" t="inlineStr">
        <is>
          <t>Entropy(Wind=False) = -(6/8 log2(6/8) + 2/8 log2(2/8)) = 0.811</t>
        </is>
      </c>
    </row>
    <row r="45">
      <c r="A45" s="11" t="inlineStr">
        <is>
          <t>True</t>
        </is>
      </c>
      <c r="B45" s="11" t="n">
        <v>6</v>
      </c>
      <c r="C45" s="11" t="n">
        <v>3</v>
      </c>
      <c r="D45" s="11" t="n">
        <v>3</v>
      </c>
      <c r="E45" s="11" t="n">
        <v>1</v>
      </c>
      <c r="F45" s="11" t="inlineStr">
        <is>
          <t>6/14 = 0.429</t>
        </is>
      </c>
      <c r="G45" s="11" t="inlineStr">
        <is>
          <t>0.429 × 1.000 = 0.429</t>
        </is>
      </c>
    </row>
    <row r="46">
      <c r="A46" s="12" t="inlineStr">
        <is>
          <t>Entropy(Wind=True) = -(3/6 log2(3/6) + 3/6 log2(3/6)) = 1.000</t>
        </is>
      </c>
    </row>
    <row r="47">
      <c r="A47" s="8" t="inlineStr">
        <is>
          <t>Weighted Entropy Wind</t>
        </is>
      </c>
      <c r="B47" s="8">
        <f> 0.892</f>
        <v/>
      </c>
      <c r="C47" s="8" t="n"/>
      <c r="D47" s="8" t="inlineStr">
        <is>
          <t>Split Info Wind</t>
        </is>
      </c>
      <c r="E47" s="8">
        <f> 0.985</f>
        <v/>
      </c>
    </row>
    <row r="48">
      <c r="A48" s="8" t="inlineStr">
        <is>
          <t>Gain Wind</t>
        </is>
      </c>
      <c r="B48" s="8">
        <f> Entropy(S) - Weighted Entropy</f>
        <v/>
      </c>
      <c r="C48" s="8" t="n"/>
      <c r="D48" s="8" t="inlineStr">
        <is>
          <t>Gain Ratio Wind</t>
        </is>
      </c>
      <c r="E48" s="8">
        <f> Gain / Split Info = 0.049</f>
        <v/>
      </c>
    </row>
    <row r="50">
      <c r="A50" s="9" t="inlineStr">
        <is>
          <t>3) Kesimpulan</t>
        </is>
      </c>
    </row>
    <row r="51">
      <c r="A51" s="13" t="inlineStr">
        <is>
          <t>Atribut dengan Gain Ratio terbesar adalah Outlook, sehingga menjadi root node terbaik.</t>
        </is>
      </c>
    </row>
  </sheetData>
  <mergeCells count="11">
    <mergeCell ref="A13:G13"/>
    <mergeCell ref="A44:G44"/>
    <mergeCell ref="A17:G17"/>
    <mergeCell ref="A35:G35"/>
    <mergeCell ref="A46:G46"/>
    <mergeCell ref="A26:G26"/>
    <mergeCell ref="A24:G24"/>
    <mergeCell ref="A15:G15"/>
    <mergeCell ref="A51:G51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2026-05-06T01:28:20Z</dcterms:created>
  <dcterms:modified xmlns:dcterms="http://purl.org/dc/terms/" xmlns:xsi="http://www.w3.org/2001/XMLSchema-instance" xsi:type="dcterms:W3CDTF">2026-05-06T01:28:20Z</dcterms:modified>
</cp:coreProperties>
</file>